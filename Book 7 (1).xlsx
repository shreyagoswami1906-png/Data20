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/>
  <xr:revisionPtr revIDLastSave="0" documentId="8_{4453EE0D-917D-4049-BD1A-0D718FBEAE02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Gross margin" sheetId="1" r:id="rId1"/>
    <sheet name="Day 15" sheetId="2" r:id="rId2"/>
    <sheet name="Sheet3" sheetId="3" r:id="rId3"/>
    <sheet name="Day 16" sheetId="4" r:id="rId4"/>
    <sheet name="Sheet5" sheetId="5" r:id="rId5"/>
    <sheet name="Day 18" sheetId="6" r:id="rId6"/>
  </sheets>
  <definedNames>
    <definedName name="cost">'Gross margin'!$C$2:$C$4</definedName>
    <definedName name="sales">'Gross margin'!$B$2:$B$4</definedName>
    <definedName name="Slicer_DEPARTMENT">#N/A</definedName>
  </definedNames>
  <calcPr calcId="191028"/>
  <pivotCaches>
    <pivotCache cacheId="7104" r:id="rId7"/>
    <pivotCache cacheId="7105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9" i="2"/>
  <c r="B4" i="2"/>
  <c r="D2" i="1" a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<sst xmlns="http://schemas.openxmlformats.org/spreadsheetml/2006/main" count="67" uniqueCount="38">
  <si>
    <t>MONTH</t>
  </si>
  <si>
    <t>SALES</t>
  </si>
  <si>
    <t>COST</t>
  </si>
  <si>
    <t>GROSS MARGIN</t>
  </si>
  <si>
    <t>JAN</t>
  </si>
  <si>
    <t>FEB</t>
  </si>
  <si>
    <t>MAR</t>
  </si>
  <si>
    <t>loan amt</t>
  </si>
  <si>
    <t>annual interest rate</t>
  </si>
  <si>
    <t>tenure(year)</t>
  </si>
  <si>
    <t>EMI(monthly)</t>
  </si>
  <si>
    <t>BEST</t>
  </si>
  <si>
    <t>MONTHLY INCOME</t>
  </si>
  <si>
    <t>MONTHLY EXPENSES</t>
  </si>
  <si>
    <t>NET CASHFLOW</t>
  </si>
  <si>
    <t>WORST</t>
  </si>
  <si>
    <t>DATE</t>
  </si>
  <si>
    <t>REGION</t>
  </si>
  <si>
    <t>PRODUCT</t>
  </si>
  <si>
    <t>NORTH</t>
  </si>
  <si>
    <t>A</t>
  </si>
  <si>
    <t>SOUTH</t>
  </si>
  <si>
    <t>B</t>
  </si>
  <si>
    <t>EAST</t>
  </si>
  <si>
    <t>Sum of SALES</t>
  </si>
  <si>
    <t>Grand Total</t>
  </si>
  <si>
    <t>EAST Total</t>
  </si>
  <si>
    <t>NORTH Total</t>
  </si>
  <si>
    <t>SOUTH Total</t>
  </si>
  <si>
    <t>DEPARTMENT</t>
  </si>
  <si>
    <t>EXPENSES</t>
  </si>
  <si>
    <t>HR</t>
  </si>
  <si>
    <t>IT</t>
  </si>
  <si>
    <t>FINANCE</t>
  </si>
  <si>
    <t>MARKETING</t>
  </si>
  <si>
    <t>WEST</t>
  </si>
  <si>
    <t>(All)</t>
  </si>
  <si>
    <t>Sum of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</si>
</sst>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9" fontId="0" fillId="0" borderId="0" xfId="0" applyNumberFormat="1"/>
    <xf numFmtId="8" fontId="0" fillId="0" borderId="0" xfId="0" applyNumberFormat="1"/>
    <xf numFmtId="15" fontId="0" fillId="0" borderId="0" xfId="0" applyNumberFormat="1"/>
    <xf numFmtId="0" fontId="0" fillId="0" borderId="0" xfId="0" pivotButton="1"/>
    <xf numFmtId="0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margin</a:t>
            </a:r>
          </a:p>
        </c:rich>
      </c:tx>
      <c:layout>
        <c:manualLayout>
          <c:xMode val="edge"/>
          <c:yMode val="edge"/>
          <c:x val="0.39955177782380774"/>
          <c:y val="4.5319885943735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'Gross margin'!$D$2:$D$4</c:f>
              <c:numCache>
                <c:formatCode>General</c:formatCode>
                <c:ptCount val="3"/>
                <c:pt idx="0">
                  <c:v>0.4</c:v>
                </c:pt>
                <c:pt idx="1">
                  <c:v>0.41666666666666669</c:v>
                </c:pt>
                <c:pt idx="2">
                  <c:v>0.42857142857142855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0B-4BFA-A379-7BE7B9328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9988871"/>
        <c:axId val="1089605639"/>
      </c:lineChart>
      <c:catAx>
        <c:axId val="1629988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05639"/>
        <c:crosses val="autoZero"/>
        <c:auto val="1"/>
        <c:lblAlgn val="ctr"/>
        <c:lblOffset val="100"/>
        <c:noMultiLvlLbl val="0"/>
      </c:catAx>
      <c:valAx>
        <c:axId val="1089605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98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7.xlsx]Day 18!PivotTable2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18'!$B$3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'Day 18'!$A$4:$A$8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'Day 18'!$B$4:$B$8</c:f>
              <c:numCache>
                <c:formatCode>General</c:formatCode>
                <c:ptCount val="4"/>
                <c:pt idx="0">
                  <c:v>35000</c:v>
                </c:pt>
                <c:pt idx="1">
                  <c:v>25000</c:v>
                </c:pt>
                <c:pt idx="2">
                  <c:v>40000</c:v>
                </c:pt>
                <c:pt idx="3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2-4A3C-8964-350A44FC8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127368"/>
        <c:axId val="1242137608"/>
      </c:barChart>
      <c:catAx>
        <c:axId val="1242127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137608"/>
        <c:crosses val="autoZero"/>
        <c:auto val="1"/>
        <c:lblAlgn val="ctr"/>
        <c:lblOffset val="100"/>
        <c:noMultiLvlLbl val="0"/>
      </c:catAx>
      <c:valAx>
        <c:axId val="124213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12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5</xdr:row>
      <xdr:rowOff>66675</xdr:rowOff>
    </xdr:from>
    <xdr:to>
      <xdr:col>10</xdr:col>
      <xdr:colOff>114300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2C736E-49AF-4F14-8CC3-CFD994729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3</xdr:row>
      <xdr:rowOff>38100</xdr:rowOff>
    </xdr:from>
    <xdr:to>
      <xdr:col>12</xdr:col>
      <xdr:colOff>85725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580CF5-A5A2-6BE8-6C62-E9713087B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9525</xdr:colOff>
      <xdr:row>0</xdr:row>
      <xdr:rowOff>0</xdr:rowOff>
    </xdr:from>
    <xdr:to>
      <xdr:col>19</xdr:col>
      <xdr:colOff>9525</xdr:colOff>
      <xdr:row>13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PARTMENT">
              <a:extLst>
                <a:ext uri="{FF2B5EF4-FFF2-40B4-BE49-F238E27FC236}">
                  <a16:creationId xmlns:a16="http://schemas.microsoft.com/office/drawing/2014/main" id="{3F7526A9-BCD0-2D6E-86D1-DC28D118AB7A}"/>
                </a:ext>
                <a:ext uri="{147F2762-F138-4A5C-976F-8EAC2B608ADB}">
                  <a16:predDERef xmlns:a16="http://schemas.microsoft.com/office/drawing/2014/main" pred="{5A580CF5-A5A2-6BE8-6C62-E9713087B4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25150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750705439816" createdVersion="8" refreshedVersion="8" minRefreshableVersion="3" recordCount="3" xr:uid="{5D6EBE15-3CC8-4A12-B060-B0D51D51FF9B}">
  <cacheSource type="worksheet">
    <worksheetSource ref="A1:E4" sheet="Sheet3"/>
  </cacheSource>
  <cacheFields count="5">
    <cacheField name="DATE" numFmtId="15">
      <sharedItems containsSemiMixedTypes="0" containsNonDate="0" containsDate="1" containsString="0" minDate="2025-01-01T00:00:00" maxDate="2025-03-11T00:00:00" count="3">
        <d v="2025-01-01T00:00:00"/>
        <d v="2025-02-12T00:00:00"/>
        <d v="2025-03-10T00:00:00"/>
      </sharedItems>
    </cacheField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35000" maxValue="50000"/>
    </cacheField>
    <cacheField name="COST" numFmtId="0">
      <sharedItems containsSemiMixedTypes="0" containsString="0" containsNumber="1" containsInteger="1" minValue="22000" maxValue="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3.794875462961" createdVersion="8" refreshedVersion="8" minRefreshableVersion="3" recordCount="4" xr:uid="{92E5ADB0-2759-4391-8F81-E2E268136C3B}">
  <cacheSource type="worksheet">
    <worksheetSource ref="A1:D5" sheet="Sheet5"/>
  </cacheSource>
  <cacheFields count="4">
    <cacheField name="DATE" numFmtId="15">
      <sharedItems containsSemiMixedTypes="0" containsNonDate="0" containsDate="1" containsString="0" minDate="2023-01-12T00:00:00" maxDate="2024-03-15T00:00:00" count="4">
        <d v="2023-01-12T00:00:00"/>
        <d v="2023-02-25T00:00:00"/>
        <d v="2024-03-14T00:00:00"/>
        <d v="2024-01-12T00:00:00"/>
      </sharedItems>
    </cacheField>
    <cacheField name="DEPARTMENT" numFmtId="0">
      <sharedItems count="4">
        <s v="HR"/>
        <s v="IT"/>
        <s v="FINANCE"/>
        <s v="MARKETING"/>
      </sharedItems>
    </cacheField>
    <cacheField name="REGION" numFmtId="0">
      <sharedItems/>
    </cacheField>
    <cacheField name="EXPENSES" numFmtId="0">
      <sharedItems containsSemiMixedTypes="0" containsString="0" containsNumber="1" containsInteger="1" minValue="25000" maxValue="40000"/>
    </cacheField>
  </cacheFields>
  <extLst>
    <ext xmlns:x14="http://schemas.microsoft.com/office/spreadsheetml/2009/9/main" uri="{725AE2AE-9491-48be-B2B4-4EB974FC3084}">
      <x14:pivotCacheDefinition pivotCacheId="7489184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n v="50000"/>
    <n v="30000"/>
  </r>
  <r>
    <x v="1"/>
    <x v="1"/>
    <x v="1"/>
    <n v="40000"/>
    <n v="25000"/>
  </r>
  <r>
    <x v="2"/>
    <x v="2"/>
    <x v="0"/>
    <n v="35000"/>
    <n v="2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s v="NORTH"/>
    <n v="25000"/>
  </r>
  <r>
    <x v="1"/>
    <x v="1"/>
    <s v="SOUTH"/>
    <n v="40000"/>
  </r>
  <r>
    <x v="2"/>
    <x v="2"/>
    <s v="EAST"/>
    <n v="35000"/>
  </r>
  <r>
    <x v="3"/>
    <x v="3"/>
    <s v="WEST"/>
    <n v="2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00964-43C8-47C4-9525-90FEA5BF1918}" name="PivotTable1" cacheId="71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" firstHeaderRow="1" firstDataRow="2" firstDataCol="2"/>
  <pivotFields count="5">
    <pivotField axis="axisRow" compact="0" numFmtId="15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2">
    <field x="1"/>
    <field x="0"/>
  </rowFields>
  <rowItems count="7">
    <i>
      <x/>
      <x v="2"/>
    </i>
    <i t="default">
      <x/>
    </i>
    <i>
      <x v="1"/>
      <x/>
    </i>
    <i t="default">
      <x v="1"/>
    </i>
    <i>
      <x v="2"/>
      <x v="1"/>
    </i>
    <i t="default"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7680E-6563-4B04-8868-3AFDA598BBE5}" name="PivotTable2" cacheId="7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8" firstHeaderRow="1" firstDataRow="1" firstDataCol="1" rowPageCount="1" colPageCount="1"/>
  <pivotFields count="4">
    <pivotField axis="axisPage" compact="0" numFmtId="15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EXPENSES" fld="3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D5E9B7EA-3BB7-4186-ABA4-A96B4DD37525}" sourceName="DEPARTMENT">
  <pivotTables>
    <pivotTable tabId="6" name="PivotTable2"/>
  </pivotTables>
  <data>
    <tabular pivotCacheId="748918441">
      <items count="4">
        <i x="2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6BD987F8-5694-44C4-B57D-23F241AE54FC}" cache="Slicer_DEPARTMENT" caption="DEPARTMENT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G4" sqref="G4"/>
    </sheetView>
  </sheetViews>
  <sheetFormatPr defaultRowHeight="15"/>
  <cols>
    <col min="4" max="4" width="14.85546875" bestFit="1" customWidth="1"/>
  </cols>
  <sheetData>
    <row r="1" spans="1:7" s="1" customFormat="1">
      <c r="A1" s="3" t="s">
        <v>0</v>
      </c>
      <c r="B1" s="4" t="s">
        <v>1</v>
      </c>
      <c r="C1" s="4" t="s">
        <v>2</v>
      </c>
      <c r="D1" s="5" t="s">
        <v>3</v>
      </c>
    </row>
    <row r="2" spans="1:7">
      <c r="A2" s="6" t="s">
        <v>4</v>
      </c>
      <c r="B2" s="2">
        <v>50000</v>
      </c>
      <c r="C2" s="2">
        <v>30000</v>
      </c>
      <c r="D2" s="7" cm="1">
        <f t="array" ref="D2:D4">(sales-cost)/sales</f>
        <v>0.4</v>
      </c>
    </row>
    <row r="3" spans="1:7">
      <c r="A3" s="6" t="s">
        <v>5</v>
      </c>
      <c r="B3" s="2">
        <v>60000</v>
      </c>
      <c r="C3" s="2">
        <v>35000</v>
      </c>
      <c r="D3" s="7">
        <v>0.41666666666666669</v>
      </c>
    </row>
    <row r="4" spans="1:7">
      <c r="A4" s="8" t="s">
        <v>6</v>
      </c>
      <c r="B4" s="9">
        <v>70000</v>
      </c>
      <c r="C4" s="9">
        <v>40000</v>
      </c>
      <c r="D4" s="10">
        <v>0.42857142857142855</v>
      </c>
    </row>
    <row r="14" spans="1:7">
      <c r="G14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798A-8030-4EBD-8A0B-118A38627D6B}">
  <dimension ref="A1:B16"/>
  <sheetViews>
    <sheetView workbookViewId="0">
      <selection activeCell="B17" sqref="B17"/>
    </sheetView>
  </sheetViews>
  <sheetFormatPr defaultRowHeight="15"/>
  <cols>
    <col min="1" max="1" width="19" bestFit="1" customWidth="1"/>
    <col min="2" max="2" width="15.28515625" bestFit="1" customWidth="1"/>
  </cols>
  <sheetData>
    <row r="1" spans="1:2">
      <c r="A1" t="s">
        <v>7</v>
      </c>
      <c r="B1">
        <v>500000</v>
      </c>
    </row>
    <row r="2" spans="1:2">
      <c r="A2" t="s">
        <v>8</v>
      </c>
      <c r="B2" s="12">
        <v>0.1</v>
      </c>
    </row>
    <row r="3" spans="1:2">
      <c r="A3" t="s">
        <v>9</v>
      </c>
      <c r="B3">
        <v>5</v>
      </c>
    </row>
    <row r="4" spans="1:2">
      <c r="A4" t="s">
        <v>10</v>
      </c>
      <c r="B4" s="13">
        <f>PMT(B2/12, B3*12, -B1)</f>
        <v>10623.522355634139</v>
      </c>
    </row>
    <row r="6" spans="1:2" s="1" customFormat="1">
      <c r="A6" s="1" t="s">
        <v>11</v>
      </c>
    </row>
    <row r="7" spans="1:2">
      <c r="A7" t="s">
        <v>12</v>
      </c>
      <c r="B7">
        <v>60000</v>
      </c>
    </row>
    <row r="8" spans="1:2">
      <c r="A8" t="s">
        <v>13</v>
      </c>
      <c r="B8">
        <v>30000</v>
      </c>
    </row>
    <row r="9" spans="1:2">
      <c r="A9" t="s">
        <v>10</v>
      </c>
      <c r="B9" s="13">
        <f>B4</f>
        <v>10623.522355634139</v>
      </c>
    </row>
    <row r="10" spans="1:2">
      <c r="A10" t="s">
        <v>14</v>
      </c>
      <c r="B10">
        <v>19376</v>
      </c>
    </row>
    <row r="12" spans="1:2" s="1" customFormat="1">
      <c r="A12" s="1" t="s">
        <v>15</v>
      </c>
    </row>
    <row r="13" spans="1:2">
      <c r="A13" t="s">
        <v>12</v>
      </c>
      <c r="B13">
        <v>40000</v>
      </c>
    </row>
    <row r="14" spans="1:2">
      <c r="A14" t="s">
        <v>13</v>
      </c>
      <c r="B14">
        <v>25000</v>
      </c>
    </row>
    <row r="15" spans="1:2">
      <c r="A15" t="s">
        <v>10</v>
      </c>
      <c r="B15" s="13">
        <f>B4</f>
        <v>10623.522355634139</v>
      </c>
    </row>
    <row r="16" spans="1:2">
      <c r="A16" t="s">
        <v>14</v>
      </c>
      <c r="B16">
        <v>4376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2CF5-1D92-4D93-9E1A-3A3BD361CEC0}">
  <dimension ref="A1:E4"/>
  <sheetViews>
    <sheetView workbookViewId="0">
      <selection activeCell="E4" sqref="E4"/>
    </sheetView>
  </sheetViews>
  <sheetFormatPr defaultRowHeight="15"/>
  <cols>
    <col min="1" max="1" width="9.7109375" bestFit="1" customWidth="1"/>
    <col min="3" max="3" width="9.7109375" bestFit="1" customWidth="1"/>
  </cols>
  <sheetData>
    <row r="1" spans="1:5" s="1" customFormat="1">
      <c r="A1" s="1" t="s">
        <v>16</v>
      </c>
      <c r="B1" s="1" t="s">
        <v>17</v>
      </c>
      <c r="C1" s="1" t="s">
        <v>18</v>
      </c>
      <c r="D1" s="1" t="s">
        <v>1</v>
      </c>
      <c r="E1" s="1" t="s">
        <v>2</v>
      </c>
    </row>
    <row r="2" spans="1:5">
      <c r="A2" s="14">
        <v>45658</v>
      </c>
      <c r="B2" t="s">
        <v>19</v>
      </c>
      <c r="C2" t="s">
        <v>20</v>
      </c>
      <c r="D2">
        <v>50000</v>
      </c>
      <c r="E2">
        <v>30000</v>
      </c>
    </row>
    <row r="3" spans="1:5">
      <c r="A3" s="14">
        <v>45700</v>
      </c>
      <c r="B3" t="s">
        <v>21</v>
      </c>
      <c r="C3" t="s">
        <v>22</v>
      </c>
      <c r="D3">
        <v>40000</v>
      </c>
      <c r="E3">
        <v>25000</v>
      </c>
    </row>
    <row r="4" spans="1:5">
      <c r="A4" s="14">
        <v>45726</v>
      </c>
      <c r="B4" t="s">
        <v>23</v>
      </c>
      <c r="C4" t="s">
        <v>20</v>
      </c>
      <c r="D4">
        <v>35000</v>
      </c>
      <c r="E4">
        <v>22000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E2B8-4FCE-4B31-AB0C-A390385C8496}">
  <dimension ref="A3:F11"/>
  <sheetViews>
    <sheetView workbookViewId="0">
      <selection activeCell="A3" sqref="A3:E11"/>
    </sheetView>
  </sheetViews>
  <sheetFormatPr defaultRowHeight="15"/>
  <cols>
    <col min="1" max="1" width="13" bestFit="1" customWidth="1"/>
    <col min="2" max="2" width="9.7109375" bestFit="1" customWidth="1"/>
    <col min="3" max="3" width="12.85546875" bestFit="1" customWidth="1"/>
    <col min="4" max="4" width="6.28515625" bestFit="1" customWidth="1"/>
    <col min="5" max="5" width="11.140625" bestFit="1" customWidth="1"/>
    <col min="6" max="6" width="17.7109375" bestFit="1" customWidth="1"/>
    <col min="7" max="7" width="18.85546875" bestFit="1" customWidth="1"/>
  </cols>
  <sheetData>
    <row r="3" spans="1:6">
      <c r="A3" s="15" t="s">
        <v>24</v>
      </c>
      <c r="C3" s="15" t="s">
        <v>18</v>
      </c>
      <c r="F3" s="17"/>
    </row>
    <row r="4" spans="1:6">
      <c r="A4" s="15" t="s">
        <v>17</v>
      </c>
      <c r="B4" s="15" t="s">
        <v>16</v>
      </c>
      <c r="C4" t="s">
        <v>20</v>
      </c>
      <c r="D4" t="s">
        <v>22</v>
      </c>
      <c r="E4" t="s">
        <v>25</v>
      </c>
      <c r="F4" s="17"/>
    </row>
    <row r="5" spans="1:6">
      <c r="A5" t="s">
        <v>23</v>
      </c>
      <c r="B5" s="14">
        <v>45726</v>
      </c>
      <c r="C5" s="16">
        <v>35000</v>
      </c>
      <c r="D5" s="16"/>
      <c r="E5" s="16">
        <v>35000</v>
      </c>
    </row>
    <row r="6" spans="1:6">
      <c r="A6" t="s">
        <v>26</v>
      </c>
      <c r="C6" s="16">
        <v>35000</v>
      </c>
      <c r="D6" s="16"/>
      <c r="E6" s="16">
        <v>35000</v>
      </c>
    </row>
    <row r="7" spans="1:6">
      <c r="A7" t="s">
        <v>19</v>
      </c>
      <c r="B7" s="14">
        <v>45658</v>
      </c>
      <c r="C7" s="16">
        <v>50000</v>
      </c>
      <c r="D7" s="16"/>
      <c r="E7" s="16">
        <v>50000</v>
      </c>
    </row>
    <row r="8" spans="1:6">
      <c r="A8" t="s">
        <v>27</v>
      </c>
      <c r="C8" s="16">
        <v>50000</v>
      </c>
      <c r="D8" s="16"/>
      <c r="E8" s="16">
        <v>50000</v>
      </c>
    </row>
    <row r="9" spans="1:6">
      <c r="A9" t="s">
        <v>21</v>
      </c>
      <c r="B9" s="14">
        <v>45700</v>
      </c>
      <c r="C9" s="16"/>
      <c r="D9" s="16">
        <v>40000</v>
      </c>
      <c r="E9" s="16">
        <v>40000</v>
      </c>
    </row>
    <row r="10" spans="1:6">
      <c r="A10" t="s">
        <v>28</v>
      </c>
      <c r="C10" s="16"/>
      <c r="D10" s="16">
        <v>40000</v>
      </c>
      <c r="E10" s="16">
        <v>40000</v>
      </c>
    </row>
    <row r="11" spans="1:6">
      <c r="A11" t="s">
        <v>25</v>
      </c>
      <c r="C11" s="16">
        <v>85000</v>
      </c>
      <c r="D11" s="16">
        <v>40000</v>
      </c>
      <c r="E11" s="16">
        <v>125000</v>
      </c>
    </row>
  </sheetData>
  <mergeCells count="1">
    <mergeCell ref="F3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9AE8-D994-4839-8939-6167803E0779}">
  <dimension ref="A1:D5"/>
  <sheetViews>
    <sheetView tabSelected="1" workbookViewId="0">
      <selection activeCell="I17" sqref="I17"/>
    </sheetView>
  </sheetViews>
  <sheetFormatPr defaultRowHeight="15"/>
  <cols>
    <col min="1" max="1" width="9.7109375" bestFit="1" customWidth="1"/>
    <col min="2" max="2" width="12.85546875" bestFit="1" customWidth="1"/>
    <col min="4" max="4" width="10.140625" bestFit="1" customWidth="1"/>
  </cols>
  <sheetData>
    <row r="1" spans="1:4" s="1" customFormat="1">
      <c r="A1" s="1" t="s">
        <v>16</v>
      </c>
      <c r="B1" s="1" t="s">
        <v>29</v>
      </c>
      <c r="C1" s="1" t="s">
        <v>17</v>
      </c>
      <c r="D1" s="1" t="s">
        <v>30</v>
      </c>
    </row>
    <row r="2" spans="1:4">
      <c r="A2" s="14">
        <v>44938</v>
      </c>
      <c r="B2" t="s">
        <v>31</v>
      </c>
      <c r="C2" t="s">
        <v>19</v>
      </c>
      <c r="D2">
        <v>25000</v>
      </c>
    </row>
    <row r="3" spans="1:4">
      <c r="A3" s="14">
        <v>44982</v>
      </c>
      <c r="B3" t="s">
        <v>32</v>
      </c>
      <c r="C3" t="s">
        <v>21</v>
      </c>
      <c r="D3">
        <v>40000</v>
      </c>
    </row>
    <row r="4" spans="1:4">
      <c r="A4" s="14">
        <v>45365</v>
      </c>
      <c r="B4" t="s">
        <v>33</v>
      </c>
      <c r="C4" t="s">
        <v>23</v>
      </c>
      <c r="D4">
        <v>35000</v>
      </c>
    </row>
    <row r="5" spans="1:4">
      <c r="A5" s="14">
        <v>45303</v>
      </c>
      <c r="B5" t="s">
        <v>34</v>
      </c>
      <c r="C5" t="s">
        <v>35</v>
      </c>
      <c r="D5">
        <v>28000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656B-76B6-49A4-A08C-59E4BB91AF09}">
  <dimension ref="A1:B8"/>
  <sheetViews>
    <sheetView workbookViewId="0">
      <selection activeCell="B1" sqref="B1"/>
    </sheetView>
  </sheetViews>
  <sheetFormatPr defaultRowHeight="15"/>
  <cols>
    <col min="1" max="1" width="16" bestFit="1" customWidth="1"/>
    <col min="2" max="2" width="16.7109375" bestFit="1" customWidth="1"/>
  </cols>
  <sheetData>
    <row r="1" spans="1:2">
      <c r="A1" s="15" t="s">
        <v>16</v>
      </c>
      <c r="B1" t="s">
        <v>36</v>
      </c>
    </row>
    <row r="3" spans="1:2">
      <c r="A3" s="15" t="s">
        <v>29</v>
      </c>
      <c r="B3" t="s">
        <v>37</v>
      </c>
    </row>
    <row r="4" spans="1:2">
      <c r="A4" t="s">
        <v>33</v>
      </c>
      <c r="B4" s="16">
        <v>35000</v>
      </c>
    </row>
    <row r="5" spans="1:2">
      <c r="A5" t="s">
        <v>31</v>
      </c>
      <c r="B5" s="16">
        <v>25000</v>
      </c>
    </row>
    <row r="6" spans="1:2">
      <c r="A6" t="s">
        <v>32</v>
      </c>
      <c r="B6" s="16">
        <v>40000</v>
      </c>
    </row>
    <row r="7" spans="1:2">
      <c r="A7" t="s">
        <v>34</v>
      </c>
      <c r="B7" s="16">
        <v>28000</v>
      </c>
    </row>
    <row r="8" spans="1:2">
      <c r="A8" t="s">
        <v>25</v>
      </c>
      <c r="B8" s="16">
        <v>128000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2025-10-22T11:38:40Z</dcterms:created>
  <dcterms:modified xsi:type="dcterms:W3CDTF">2025-11-04T11:28:32Z</dcterms:modified>
  <cp:category/>
  <cp:contentStatus/>
</cp:coreProperties>
</file>